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375" documentId="11_E60897F41BE170836B02CE998F75CCDC64E183C8" xr6:coauthVersionLast="47" xr6:coauthVersionMax="47" xr10:uidLastSave="{A7AF98C9-CEBC-4E41-A312-4F33FC93C48D}"/>
  <bookViews>
    <workbookView xWindow="240" yWindow="105" windowWidth="14805" windowHeight="8010" firstSheet="3" activeTab="2" xr2:uid="{00000000-000D-0000-FFFF-FFFF00000000}"/>
  </bookViews>
  <sheets>
    <sheet name="Antti Buller" sheetId="4" r:id="rId1"/>
    <sheet name="Elmo Lehtosaari" sheetId="3" r:id="rId2"/>
    <sheet name="Jere Peltola" sheetId="2" r:id="rId3"/>
    <sheet name="Jussi Mitteli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E2" i="4"/>
</calcChain>
</file>

<file path=xl/sharedStrings.xml><?xml version="1.0" encoding="utf-8"?>
<sst xmlns="http://schemas.openxmlformats.org/spreadsheetml/2006/main" count="120" uniqueCount="104">
  <si>
    <t>PVM</t>
  </si>
  <si>
    <t>TUNTIA</t>
  </si>
  <si>
    <t>Mitä teit?</t>
  </si>
  <si>
    <t>Ohjaustunti + Tehtävän suunnittelua ja tehtävien jakoa</t>
  </si>
  <si>
    <t>Tietokannan ER-kaavion suunnittelu ja toteutus pgAdminilla + dokumentointi</t>
  </si>
  <si>
    <t>Github labeleiden tekoa ja kehitysjonon (backlog) tekemistä</t>
  </si>
  <si>
    <t>backlogin tekoa</t>
  </si>
  <si>
    <t>backlogi viimeistely + UI desing</t>
  </si>
  <si>
    <t>ohjaustunti, ui suunnittelu, tehtävien jako, vm pystytys</t>
  </si>
  <si>
    <t>remote-ssh linkki vscodeen, branchin luonti githubiin, docker asennus, scrum issuedein palautus(vahinko poisto)</t>
  </si>
  <si>
    <t>Backendin runko (Express), TMDB-reitti now-playing (axios + Bearer), app.use-liitos</t>
  </si>
  <si>
    <t>Reitin testaus tokenilla, Mocha/Chai-testi, next-korjaus, start/dev-skriptit (nodemon)</t>
  </si>
  <si>
    <t>Hakulomake (SearchBar) + tuloslista (SearchResults) + MovieCard-komponentti frontendiin</t>
  </si>
  <si>
    <t>Haku toimivaksi: axios-kytkentä, CORS, vuosisuodatin</t>
  </si>
  <si>
    <t>Ohjaustunti + vuosivalidointi-issue kirjattu, Scrum-boardin näkymät, DATABASE_URL-selvitys</t>
  </si>
  <si>
    <t>Docker-ympäristö (compose + Dockerfilet), vite.config konttiverkkoon</t>
  </si>
  <si>
    <t>Verkkoyhteydet kuntoon (julkinen IP + CORS), frontendin API-kutsut proxyyn</t>
  </si>
  <si>
    <t>Tilin poisto backend: DELETE-reitti, JWT-suojaus middlewarella, poisto kannasta CASCADE:lla.</t>
  </si>
  <si>
    <t>sarjahaku ja tyyppivalinta lisätty, oma hakutulossivu URL-parametreilla, API-kutsut yhtenäistetty plain axiosiin. home.jsx siivoilua</t>
  </si>
  <si>
    <t>Delete Account -nappi + käyttäjävalikko Headeriin, Docker-buildi korjattu (cookie-parser), DATABASE_URL lisätty, backend-testit läpi</t>
  </si>
  <si>
    <t>Ohjaustunti ja tehtävien jaot</t>
  </si>
  <si>
    <t>Movie/serie detail-sivut MVC:llä, TMDB-haku + cast, kortti-klikkaus + hover</t>
  </si>
  <si>
    <t>ReviewList-komponentti elokuvasivulle, Axios-haku, kentät + jäsentely ruutuihin. Vite-proxyyn /reviews.</t>
  </si>
  <si>
    <t>Mocha/Chai-testi arvostelureitille (#99): GET-reitti palauttaa listan + tyhjä lista kun ei arvosteluja. Testit läpi</t>
  </si>
  <si>
    <t>Ryhmän poisto + liittymispyyntö: backend-reitit MVC:llä, napit vahvistuksella, Vite-proxyyn /groups.</t>
  </si>
  <si>
    <t>5.10</t>
  </si>
  <si>
    <t>7.10</t>
  </si>
  <si>
    <t>elokuvan lisäys ryhmään elokuvasivun valikosta, tuplaesto schemaan, ryhmäsivun elokuvat 5/rivi. Hakutulosten sarjalinkki korjattu.</t>
  </si>
  <si>
    <t>Dokumentaation tekoa</t>
  </si>
  <si>
    <t>git, palaveri</t>
  </si>
  <si>
    <t>ryhmäpalaveri, asioiden priorisointia ja läpikäyntiä</t>
  </si>
  <si>
    <t>palaveri, projektin alustusta ja aloittelua</t>
  </si>
  <si>
    <t>13-14.9</t>
  </si>
  <si>
    <t>rekisteröinti, login+routing, merge confliktien korjausta</t>
  </si>
  <si>
    <t>Suosikit, backend reititys, sivu,jakonappi, headeri</t>
  </si>
  <si>
    <t>30.9-4.10</t>
  </si>
  <si>
    <t>ryhmien, backend, frontend, 404 sivu, bugi fixejä, jäsenten poisto, nappeja, conflikteja</t>
  </si>
  <si>
    <t>Tunnit yht:70</t>
  </si>
  <si>
    <t>palaveri ja suunnittelua</t>
  </si>
  <si>
    <t>ui suunnittelu ja tiimi palaveri</t>
  </si>
  <si>
    <t>palaveri ja ui suunnittelua</t>
  </si>
  <si>
    <t xml:space="preserve">React fronttia </t>
  </si>
  <si>
    <t xml:space="preserve">frontendin rakenteluia ja axiosta </t>
  </si>
  <si>
    <t>palaveri,ui muokkausta ja app.jsx korjaus</t>
  </si>
  <si>
    <t>movies ja series sivujen rakentelua ja testailua</t>
  </si>
  <si>
    <t>palveri ja groups sivun frontend kehitystä</t>
  </si>
  <si>
    <t xml:space="preserve">arvostelu reittien ja backend luomista </t>
  </si>
  <si>
    <t>groups backend ja frontend luomista</t>
  </si>
  <si>
    <t>groups hommien jatkamista</t>
  </si>
  <si>
    <t>3.10.2026</t>
  </si>
  <si>
    <t xml:space="preserve">groups viimeistelyt </t>
  </si>
  <si>
    <t>4.10.2026</t>
  </si>
  <si>
    <t>Css tiedostojen muokkausta ja ui</t>
  </si>
  <si>
    <t>5.10.2026</t>
  </si>
  <si>
    <t>palaveri ja ui muokkailua</t>
  </si>
  <si>
    <t>7.10.2026</t>
  </si>
  <si>
    <t>ui muokkailua ja mobiili responsiivisuuden tekemistä</t>
  </si>
  <si>
    <t>11.10.2026</t>
  </si>
  <si>
    <t>ui + responssiivisuuksien viimeistely ja movie carousellin korjaus</t>
  </si>
  <si>
    <t>12.10.2026</t>
  </si>
  <si>
    <t>seriespage responsiivisuus korjaukset ja palaveri esityksestä</t>
  </si>
  <si>
    <t>14.10.2026</t>
  </si>
  <si>
    <t>git hubi siivousta ja esityksen valmistelua</t>
  </si>
  <si>
    <t>Yhteensä (tuntia)</t>
  </si>
  <si>
    <t>31.8.2026</t>
  </si>
  <si>
    <t>Suunnittelu ja palaverit.</t>
  </si>
  <si>
    <t>6.9.2026</t>
  </si>
  <si>
    <t>UI suunnitelma ja tiimipalaveri</t>
  </si>
  <si>
    <t>7.9.2026</t>
  </si>
  <si>
    <t>Tiimipalaveri ja suunnittelua</t>
  </si>
  <si>
    <t>11.9.2026</t>
  </si>
  <si>
    <t>Elokuva haku endpoint ja testit. TMDB API selvitystä</t>
  </si>
  <si>
    <t>12.9.2026</t>
  </si>
  <si>
    <t>Endpoint suunnittelua ja docker kontti selvitystä.</t>
  </si>
  <si>
    <t>13.9.2026</t>
  </si>
  <si>
    <t>Koodin siivousta ja repo main haaran suojaus.</t>
  </si>
  <si>
    <t>14.9.2026</t>
  </si>
  <si>
    <t>Tiimipalaveri ja seuraavan viikon töiden jako</t>
  </si>
  <si>
    <t>18.9.2026</t>
  </si>
  <si>
    <t>schema.sq ja tietokanta parannukset sekä uuden ympäristömuuttujan lisäys, toimintojen testausta ja korjausta</t>
  </si>
  <si>
    <t>19.9.2026</t>
  </si>
  <si>
    <t>backend access token ja refresh token työt</t>
  </si>
  <si>
    <t>20.9.2026</t>
  </si>
  <si>
    <t>Rekisteröinti testit, login testit ja log out testit. Viimeistelty kirjautuminen ja log out</t>
  </si>
  <si>
    <t>21.9.2026</t>
  </si>
  <si>
    <t>Tiimipalaverit</t>
  </si>
  <si>
    <t>24.9.2026</t>
  </si>
  <si>
    <t>Suosikkien lisäämisen kehitykjsen aloitus.</t>
  </si>
  <si>
    <t>25.9.2026</t>
  </si>
  <si>
    <t>Suosikkien poistaminen ja sen testaus backendiin</t>
  </si>
  <si>
    <t>28.9.2026</t>
  </si>
  <si>
    <t>Tiimipalaveri</t>
  </si>
  <si>
    <t>29.9.2026</t>
  </si>
  <si>
    <t>Autentikointi ongelman bugin juuri syyn selvitystä</t>
  </si>
  <si>
    <t>1.10.2026</t>
  </si>
  <si>
    <t>Muutoksien suunnittelua autentikaatioon</t>
  </si>
  <si>
    <t>2.10.2026</t>
  </si>
  <si>
    <t>autentikoinnin loppu korjaukset ja testaukset. autentikoinnin muutokset mvc malliin. Refresh token ja access token testit</t>
  </si>
  <si>
    <t>Favorites rästi hommien tekoa ja favorites toimintaan</t>
  </si>
  <si>
    <t>9.10.2026</t>
  </si>
  <si>
    <t>Dokumentoinnin suunnitelu ohje sekä vaatimusten selvittelyä. Projektin tilanteen selvitystä. Readme pohjan aloitus ja dokumentaation rakenteen suunnittelua.</t>
  </si>
  <si>
    <t>10.10.2026</t>
  </si>
  <si>
    <t>Vuosivalidointi. elokuvien haun muutoksien suunnittelua. Antin kanssa jaarittelua. Pull requjen hyväksymistä.</t>
  </si>
  <si>
    <t>Projektin tilan tutkiminen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</si>
</sst>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1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Hyperlink" xfId="1" xr:uid="{00000000-000B-0000-0000-000008000000}"/>
    <cellStyle name="Normaali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F3C5-FF5D-4F51-A705-068BC9B3D56D}">
  <dimension ref="A1:E50"/>
  <sheetViews>
    <sheetView workbookViewId="0">
      <selection activeCell="E25" sqref="E25"/>
    </sheetView>
  </sheetViews>
  <sheetFormatPr defaultRowHeight="15"/>
  <cols>
    <col min="1" max="1" width="20.85546875" customWidth="1"/>
    <col min="2" max="2" width="23.7109375" customWidth="1"/>
    <col min="3" max="3" width="94.85546875" customWidth="1"/>
    <col min="4" max="4" width="33.42578125" customWidth="1"/>
    <col min="5" max="5" width="30.85546875" customWidth="1"/>
    <col min="6" max="6" width="40" customWidth="1"/>
  </cols>
  <sheetData>
    <row r="1" spans="1:5" ht="23.25">
      <c r="A1" s="5" t="s">
        <v>0</v>
      </c>
      <c r="B1" s="5" t="s">
        <v>1</v>
      </c>
      <c r="C1" s="1" t="s">
        <v>2</v>
      </c>
    </row>
    <row r="2" spans="1:5">
      <c r="A2" s="2">
        <v>31.8</v>
      </c>
      <c r="B2" s="2">
        <v>2</v>
      </c>
      <c r="C2" t="s">
        <v>3</v>
      </c>
      <c r="E2" t="str">
        <f>"KOKONAISTYÖAIKA: "&amp;SUM(B:B)</f>
        <v>KOKONAISTYÖAIKA: 70</v>
      </c>
    </row>
    <row r="3" spans="1:5">
      <c r="A3" s="2">
        <v>3.9</v>
      </c>
      <c r="B3" s="2">
        <v>5</v>
      </c>
      <c r="C3" t="s">
        <v>4</v>
      </c>
    </row>
    <row r="4" spans="1:5">
      <c r="A4" s="2">
        <v>3.9</v>
      </c>
      <c r="B4" s="2">
        <v>3</v>
      </c>
      <c r="C4" t="s">
        <v>5</v>
      </c>
    </row>
    <row r="5" spans="1:5">
      <c r="A5" s="2">
        <v>5.9</v>
      </c>
      <c r="B5" s="2">
        <v>4</v>
      </c>
      <c r="C5" t="s">
        <v>6</v>
      </c>
    </row>
    <row r="6" spans="1:5">
      <c r="A6" s="2">
        <v>6.9</v>
      </c>
      <c r="B6" s="2">
        <v>2</v>
      </c>
      <c r="C6" t="s">
        <v>7</v>
      </c>
    </row>
    <row r="7" spans="1:5">
      <c r="A7" s="2">
        <v>7.9</v>
      </c>
      <c r="B7" s="2">
        <v>3</v>
      </c>
      <c r="C7" t="s">
        <v>8</v>
      </c>
    </row>
    <row r="8" spans="1:5">
      <c r="A8" s="2">
        <v>8.9</v>
      </c>
      <c r="B8" s="2">
        <v>3</v>
      </c>
      <c r="C8" t="s">
        <v>9</v>
      </c>
    </row>
    <row r="9" spans="1:5">
      <c r="A9" s="2">
        <v>8.9</v>
      </c>
      <c r="B9" s="2">
        <v>2</v>
      </c>
      <c r="C9" t="s">
        <v>10</v>
      </c>
    </row>
    <row r="10" spans="1:5">
      <c r="A10" s="2">
        <v>10.9</v>
      </c>
      <c r="B10" s="2">
        <v>2</v>
      </c>
      <c r="C10" t="s">
        <v>11</v>
      </c>
    </row>
    <row r="11" spans="1:5">
      <c r="A11" s="2">
        <v>11.9</v>
      </c>
      <c r="B11" s="2">
        <v>3</v>
      </c>
      <c r="C11" t="s">
        <v>12</v>
      </c>
    </row>
    <row r="12" spans="1:5">
      <c r="A12" s="2">
        <v>12.9</v>
      </c>
      <c r="B12" s="2">
        <v>2</v>
      </c>
      <c r="C12" t="s">
        <v>13</v>
      </c>
    </row>
    <row r="13" spans="1:5">
      <c r="A13" s="2">
        <v>14.9</v>
      </c>
      <c r="B13" s="2">
        <v>3</v>
      </c>
      <c r="C13" t="s">
        <v>14</v>
      </c>
    </row>
    <row r="14" spans="1:5">
      <c r="A14" s="2">
        <v>17.899999999999999</v>
      </c>
      <c r="B14" s="2">
        <v>3</v>
      </c>
      <c r="C14" t="s">
        <v>15</v>
      </c>
    </row>
    <row r="15" spans="1:5">
      <c r="A15" s="2">
        <v>18.899999999999999</v>
      </c>
      <c r="B15" s="2">
        <v>2</v>
      </c>
      <c r="C15" t="s">
        <v>16</v>
      </c>
    </row>
    <row r="16" spans="1:5">
      <c r="A16" s="2">
        <v>18.899999999999999</v>
      </c>
      <c r="B16" s="2">
        <v>3</v>
      </c>
      <c r="C16" t="s">
        <v>17</v>
      </c>
    </row>
    <row r="17" spans="1:3">
      <c r="A17" s="2">
        <v>19.899999999999999</v>
      </c>
      <c r="B17" s="2">
        <v>4</v>
      </c>
      <c r="C17" t="s">
        <v>18</v>
      </c>
    </row>
    <row r="18" spans="1:3">
      <c r="A18" s="2">
        <v>20.9</v>
      </c>
      <c r="B18" s="2">
        <v>2</v>
      </c>
      <c r="C18" t="s">
        <v>19</v>
      </c>
    </row>
    <row r="19" spans="1:3">
      <c r="A19" s="2">
        <v>21.9</v>
      </c>
      <c r="B19" s="2">
        <v>2</v>
      </c>
      <c r="C19" t="s">
        <v>20</v>
      </c>
    </row>
    <row r="20" spans="1:3">
      <c r="A20" s="2">
        <v>22.9</v>
      </c>
      <c r="B20" s="2">
        <v>6</v>
      </c>
      <c r="C20" t="s">
        <v>21</v>
      </c>
    </row>
    <row r="21" spans="1:3">
      <c r="A21" s="2">
        <v>23.9</v>
      </c>
      <c r="B21" s="2">
        <v>2</v>
      </c>
      <c r="C21" t="s">
        <v>22</v>
      </c>
    </row>
    <row r="22" spans="1:3">
      <c r="A22" s="2">
        <v>24.9</v>
      </c>
      <c r="B22" s="2">
        <v>1</v>
      </c>
      <c r="C22" t="s">
        <v>23</v>
      </c>
    </row>
    <row r="23" spans="1:3">
      <c r="A23" s="2">
        <v>29.9</v>
      </c>
      <c r="B23" s="2">
        <v>3</v>
      </c>
      <c r="C23" t="s">
        <v>24</v>
      </c>
    </row>
    <row r="24" spans="1:3">
      <c r="A24" s="6" t="s">
        <v>25</v>
      </c>
      <c r="B24" s="2">
        <v>2</v>
      </c>
      <c r="C24" t="s">
        <v>20</v>
      </c>
    </row>
    <row r="25" spans="1:3">
      <c r="A25" s="6" t="s">
        <v>26</v>
      </c>
      <c r="B25" s="2">
        <v>3</v>
      </c>
      <c r="C25" t="s">
        <v>27</v>
      </c>
    </row>
    <row r="26" spans="1:3">
      <c r="A26" s="2">
        <v>10.1</v>
      </c>
      <c r="B26" s="2">
        <v>3</v>
      </c>
      <c r="C26" t="s">
        <v>28</v>
      </c>
    </row>
    <row r="27" spans="1:3">
      <c r="A27" s="2"/>
      <c r="B27" s="2"/>
    </row>
    <row r="28" spans="1:3">
      <c r="A28" s="2"/>
      <c r="B28" s="2"/>
    </row>
    <row r="29" spans="1:3">
      <c r="A29" s="2"/>
      <c r="B29" s="2"/>
    </row>
    <row r="30" spans="1:3">
      <c r="A30" s="2"/>
      <c r="B30" s="2"/>
    </row>
    <row r="31" spans="1:3">
      <c r="A31" s="2"/>
      <c r="B31" s="2"/>
    </row>
    <row r="32" spans="1:3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4CF2-C142-42CC-A3E5-C6BF101F3390}">
  <dimension ref="A1:C7"/>
  <sheetViews>
    <sheetView workbookViewId="0">
      <selection activeCell="C15" sqref="C15"/>
    </sheetView>
  </sheetViews>
  <sheetFormatPr defaultRowHeight="15"/>
  <cols>
    <col min="1" max="1" width="20.85546875" customWidth="1"/>
    <col min="2" max="2" width="23.7109375" customWidth="1"/>
    <col min="3" max="3" width="75.7109375" customWidth="1"/>
    <col min="4" max="4" width="33.42578125" customWidth="1"/>
  </cols>
  <sheetData>
    <row r="1" spans="1:3" ht="23.25">
      <c r="A1" s="1" t="s">
        <v>0</v>
      </c>
      <c r="B1" s="1" t="s">
        <v>1</v>
      </c>
      <c r="C1" s="1" t="s">
        <v>2</v>
      </c>
    </row>
    <row r="2" spans="1:3">
      <c r="A2">
        <v>31.8</v>
      </c>
      <c r="B2">
        <v>2</v>
      </c>
      <c r="C2" t="s">
        <v>29</v>
      </c>
    </row>
    <row r="3" spans="1:3">
      <c r="A3">
        <v>6.9</v>
      </c>
      <c r="B3">
        <v>2</v>
      </c>
      <c r="C3" t="s">
        <v>30</v>
      </c>
    </row>
    <row r="4" spans="1:3">
      <c r="A4">
        <v>7.9</v>
      </c>
      <c r="B4">
        <v>3</v>
      </c>
      <c r="C4" t="s">
        <v>31</v>
      </c>
    </row>
    <row r="5" spans="1:3">
      <c r="A5" t="s">
        <v>32</v>
      </c>
      <c r="B5">
        <v>8</v>
      </c>
      <c r="C5" s="3" t="s">
        <v>33</v>
      </c>
    </row>
    <row r="6" spans="1:3">
      <c r="A6">
        <v>26.9</v>
      </c>
      <c r="B6">
        <v>4</v>
      </c>
      <c r="C6" t="s">
        <v>34</v>
      </c>
    </row>
    <row r="7" spans="1:3">
      <c r="A7" t="s">
        <v>35</v>
      </c>
      <c r="B7">
        <v>12</v>
      </c>
      <c r="C7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2FF2-B95F-48B5-AB9C-C016BF6B25BC}">
  <dimension ref="A1:D19"/>
  <sheetViews>
    <sheetView tabSelected="1" workbookViewId="0">
      <selection activeCell="C23" sqref="C23"/>
    </sheetView>
  </sheetViews>
  <sheetFormatPr defaultRowHeight="15"/>
  <cols>
    <col min="1" max="1" width="20.85546875" customWidth="1"/>
    <col min="2" max="2" width="23.7109375" customWidth="1"/>
    <col min="3" max="3" width="75.7109375" customWidth="1"/>
    <col min="4" max="4" width="33.42578125" customWidth="1"/>
  </cols>
  <sheetData>
    <row r="1" spans="1:4" ht="23.25">
      <c r="A1" s="1" t="s">
        <v>0</v>
      </c>
      <c r="B1" s="1" t="s">
        <v>1</v>
      </c>
      <c r="C1" s="1" t="s">
        <v>2</v>
      </c>
      <c r="D1" t="s">
        <v>37</v>
      </c>
    </row>
    <row r="2" spans="1:4">
      <c r="A2">
        <v>31.8</v>
      </c>
      <c r="B2">
        <v>2</v>
      </c>
      <c r="C2" t="s">
        <v>38</v>
      </c>
    </row>
    <row r="3" spans="1:4">
      <c r="A3">
        <v>6.9</v>
      </c>
      <c r="B3">
        <v>3</v>
      </c>
      <c r="C3" t="s">
        <v>39</v>
      </c>
    </row>
    <row r="4" spans="1:4">
      <c r="A4">
        <v>7.9</v>
      </c>
      <c r="B4">
        <v>3</v>
      </c>
      <c r="C4" t="s">
        <v>40</v>
      </c>
    </row>
    <row r="5" spans="1:4">
      <c r="A5">
        <v>8.9</v>
      </c>
      <c r="B5">
        <v>4</v>
      </c>
      <c r="C5" t="s">
        <v>41</v>
      </c>
    </row>
    <row r="6" spans="1:4">
      <c r="A6">
        <v>12.9</v>
      </c>
      <c r="B6">
        <v>5</v>
      </c>
      <c r="C6" t="s">
        <v>42</v>
      </c>
    </row>
    <row r="7" spans="1:4">
      <c r="A7">
        <v>14.9</v>
      </c>
      <c r="B7">
        <v>3</v>
      </c>
      <c r="C7" t="s">
        <v>43</v>
      </c>
    </row>
    <row r="8" spans="1:4">
      <c r="A8">
        <v>18.899999999999999</v>
      </c>
      <c r="B8">
        <v>6</v>
      </c>
      <c r="C8" t="s">
        <v>44</v>
      </c>
    </row>
    <row r="9" spans="1:4">
      <c r="A9">
        <v>21.9</v>
      </c>
      <c r="B9">
        <v>3</v>
      </c>
      <c r="C9" t="s">
        <v>45</v>
      </c>
    </row>
    <row r="10" spans="1:4">
      <c r="A10">
        <v>27.9</v>
      </c>
      <c r="B10">
        <v>5</v>
      </c>
      <c r="C10" t="s">
        <v>46</v>
      </c>
    </row>
    <row r="11" spans="1:4">
      <c r="A11">
        <v>28.9</v>
      </c>
      <c r="B11">
        <v>4</v>
      </c>
      <c r="C11" t="s">
        <v>47</v>
      </c>
    </row>
    <row r="12" spans="1:4">
      <c r="A12">
        <v>30.9</v>
      </c>
      <c r="B12">
        <v>5</v>
      </c>
      <c r="C12" t="s">
        <v>48</v>
      </c>
    </row>
    <row r="13" spans="1:4">
      <c r="A13" t="s">
        <v>49</v>
      </c>
      <c r="B13">
        <v>4</v>
      </c>
      <c r="C13" t="s">
        <v>50</v>
      </c>
    </row>
    <row r="14" spans="1:4">
      <c r="A14" t="s">
        <v>51</v>
      </c>
      <c r="B14">
        <v>5</v>
      </c>
      <c r="C14" t="s">
        <v>52</v>
      </c>
    </row>
    <row r="15" spans="1:4">
      <c r="A15" t="s">
        <v>53</v>
      </c>
      <c r="B15">
        <v>3</v>
      </c>
      <c r="C15" t="s">
        <v>54</v>
      </c>
    </row>
    <row r="16" spans="1:4">
      <c r="A16" t="s">
        <v>55</v>
      </c>
      <c r="B16">
        <v>4</v>
      </c>
      <c r="C16" t="s">
        <v>56</v>
      </c>
    </row>
    <row r="17" spans="1:3">
      <c r="A17" t="s">
        <v>57</v>
      </c>
      <c r="B17">
        <v>6</v>
      </c>
      <c r="C17" t="s">
        <v>58</v>
      </c>
    </row>
    <row r="18" spans="1:3">
      <c r="A18" t="s">
        <v>59</v>
      </c>
      <c r="B18">
        <v>4</v>
      </c>
      <c r="C18" t="s">
        <v>60</v>
      </c>
    </row>
    <row r="19" spans="1:3">
      <c r="A19" t="s">
        <v>61</v>
      </c>
      <c r="B19">
        <v>4</v>
      </c>
      <c r="C19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A25" sqref="A25"/>
    </sheetView>
  </sheetViews>
  <sheetFormatPr defaultRowHeight="15"/>
  <cols>
    <col min="1" max="1" width="20.85546875" customWidth="1"/>
    <col min="2" max="2" width="23.7109375" customWidth="1"/>
    <col min="3" max="3" width="142.7109375" customWidth="1"/>
    <col min="4" max="4" width="33.42578125" customWidth="1"/>
  </cols>
  <sheetData>
    <row r="1" spans="1:4" ht="23.25">
      <c r="A1" s="1" t="s">
        <v>0</v>
      </c>
      <c r="B1" s="1" t="s">
        <v>1</v>
      </c>
      <c r="C1" s="1" t="s">
        <v>2</v>
      </c>
      <c r="D1" s="4" t="s">
        <v>63</v>
      </c>
    </row>
    <row r="2" spans="1:4">
      <c r="A2" t="s">
        <v>64</v>
      </c>
      <c r="B2">
        <v>2</v>
      </c>
      <c r="C2" t="s">
        <v>65</v>
      </c>
      <c r="D2">
        <f>SUM(B2:B53)</f>
        <v>86</v>
      </c>
    </row>
    <row r="3" spans="1:4">
      <c r="A3" t="s">
        <v>66</v>
      </c>
      <c r="B3">
        <v>3</v>
      </c>
      <c r="C3" t="s">
        <v>67</v>
      </c>
    </row>
    <row r="4" spans="1:4">
      <c r="A4" t="s">
        <v>68</v>
      </c>
      <c r="B4">
        <v>3</v>
      </c>
      <c r="C4" t="s">
        <v>69</v>
      </c>
    </row>
    <row r="5" spans="1:4">
      <c r="A5" t="s">
        <v>70</v>
      </c>
      <c r="B5">
        <v>5</v>
      </c>
      <c r="C5" t="s">
        <v>71</v>
      </c>
    </row>
    <row r="6" spans="1:4">
      <c r="A6" t="s">
        <v>72</v>
      </c>
      <c r="B6">
        <v>2</v>
      </c>
      <c r="C6" t="s">
        <v>73</v>
      </c>
    </row>
    <row r="7" spans="1:4">
      <c r="A7" t="s">
        <v>74</v>
      </c>
      <c r="B7">
        <v>3</v>
      </c>
      <c r="C7" t="s">
        <v>75</v>
      </c>
    </row>
    <row r="8" spans="1:4">
      <c r="A8" t="s">
        <v>76</v>
      </c>
      <c r="B8">
        <v>2</v>
      </c>
      <c r="C8" t="s">
        <v>77</v>
      </c>
    </row>
    <row r="9" spans="1:4">
      <c r="A9" t="s">
        <v>78</v>
      </c>
      <c r="B9">
        <v>8</v>
      </c>
      <c r="C9" t="s">
        <v>79</v>
      </c>
    </row>
    <row r="10" spans="1:4">
      <c r="A10" t="s">
        <v>80</v>
      </c>
      <c r="B10">
        <v>6</v>
      </c>
      <c r="C10" t="s">
        <v>81</v>
      </c>
    </row>
    <row r="11" spans="1:4">
      <c r="A11" t="s">
        <v>82</v>
      </c>
      <c r="B11">
        <v>7</v>
      </c>
      <c r="C11" t="s">
        <v>83</v>
      </c>
    </row>
    <row r="12" spans="1:4">
      <c r="A12" t="s">
        <v>84</v>
      </c>
      <c r="B12">
        <v>2</v>
      </c>
      <c r="C12" t="s">
        <v>85</v>
      </c>
    </row>
    <row r="13" spans="1:4">
      <c r="A13" t="s">
        <v>86</v>
      </c>
      <c r="B13">
        <v>4</v>
      </c>
      <c r="C13" t="s">
        <v>87</v>
      </c>
    </row>
    <row r="14" spans="1:4">
      <c r="A14" t="s">
        <v>88</v>
      </c>
      <c r="B14">
        <v>4</v>
      </c>
      <c r="C14" t="s">
        <v>89</v>
      </c>
    </row>
    <row r="15" spans="1:4">
      <c r="A15" t="s">
        <v>90</v>
      </c>
      <c r="B15">
        <v>2</v>
      </c>
      <c r="C15" t="s">
        <v>91</v>
      </c>
    </row>
    <row r="16" spans="1:4">
      <c r="A16" t="s">
        <v>92</v>
      </c>
      <c r="B16">
        <v>2</v>
      </c>
      <c r="C16" t="s">
        <v>93</v>
      </c>
    </row>
    <row r="17" spans="1:3">
      <c r="A17" t="s">
        <v>94</v>
      </c>
      <c r="B17">
        <v>2</v>
      </c>
      <c r="C17" t="s">
        <v>95</v>
      </c>
    </row>
    <row r="18" spans="1:3">
      <c r="A18" t="s">
        <v>96</v>
      </c>
      <c r="B18">
        <v>8</v>
      </c>
      <c r="C18" t="s">
        <v>97</v>
      </c>
    </row>
    <row r="19" spans="1:3">
      <c r="A19" t="s">
        <v>49</v>
      </c>
      <c r="B19">
        <v>5</v>
      </c>
      <c r="C19" t="s">
        <v>98</v>
      </c>
    </row>
    <row r="20" spans="1:3">
      <c r="A20" t="s">
        <v>53</v>
      </c>
      <c r="B20">
        <v>2</v>
      </c>
      <c r="C20" t="s">
        <v>91</v>
      </c>
    </row>
    <row r="21" spans="1:3">
      <c r="A21" t="s">
        <v>99</v>
      </c>
      <c r="B21">
        <v>6</v>
      </c>
      <c r="C21" t="s">
        <v>100</v>
      </c>
    </row>
    <row r="22" spans="1:3">
      <c r="A22" t="s">
        <v>101</v>
      </c>
      <c r="B22">
        <v>4</v>
      </c>
      <c r="C22" t="s">
        <v>102</v>
      </c>
    </row>
    <row r="23" spans="1:3">
      <c r="A23" t="s">
        <v>57</v>
      </c>
      <c r="B23">
        <v>2</v>
      </c>
      <c r="C23" t="s">
        <v>103</v>
      </c>
    </row>
    <row r="24" spans="1:3">
      <c r="A24" t="s">
        <v>59</v>
      </c>
      <c r="B24">
        <v>2</v>
      </c>
      <c r="C24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cea85c-50de-48b6-9e67-d2f36b75b9ea">
      <Terms xmlns="http://schemas.microsoft.com/office/infopath/2007/PartnerControls"/>
    </lcf76f155ced4ddcb4097134ff3c332f>
    <TaxCatchAll xmlns="bc25d511-c20b-4926-8076-66b5379d139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E1B39FCC95A48940035F16CCBADCF" ma:contentTypeVersion="12" ma:contentTypeDescription="Create a new document." ma:contentTypeScope="" ma:versionID="5ab41780ad3be75bc90f1b769126b88e">
  <xsd:schema xmlns:xsd="http://www.w3.org/2001/XMLSchema" xmlns:xs="http://www.w3.org/2001/XMLSchema" xmlns:p="http://schemas.microsoft.com/office/2006/metadata/properties" xmlns:ns2="17cea85c-50de-48b6-9e67-d2f36b75b9ea" xmlns:ns3="bc25d511-c20b-4926-8076-66b5379d1392" targetNamespace="http://schemas.microsoft.com/office/2006/metadata/properties" ma:root="true" ma:fieldsID="a9adc29a4cf54a1c784d2812595e2a52" ns2:_="" ns3:_="">
    <xsd:import namespace="17cea85c-50de-48b6-9e67-d2f36b75b9ea"/>
    <xsd:import namespace="bc25d511-c20b-4926-8076-66b5379d13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ea85c-50de-48b6-9e67-d2f36b75b9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5d511-c20b-4926-8076-66b5379d139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19eb1f-61f2-47dc-9255-98e5adc6c085}" ma:internalName="TaxCatchAll" ma:showField="CatchAllData" ma:web="bc25d511-c20b-4926-8076-66b5379d13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2133A8-1A13-489F-BFC1-E975C2DF3277}"/>
</file>

<file path=customXml/itemProps2.xml><?xml version="1.0" encoding="utf-8"?>
<ds:datastoreItem xmlns:ds="http://schemas.openxmlformats.org/officeDocument/2006/customXml" ds:itemID="{C8E3D1AE-D58F-40CF-A6BF-C4BB062BBE65}"/>
</file>

<file path=customXml/itemProps3.xml><?xml version="1.0" encoding="utf-8"?>
<ds:datastoreItem xmlns:ds="http://schemas.openxmlformats.org/officeDocument/2006/customXml" ds:itemID="{21B3558F-D58D-4450-98DA-9F079DF999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Jere Peltola</cp:lastModifiedBy>
  <cp:revision/>
  <dcterms:created xsi:type="dcterms:W3CDTF">2026-08-31T14:09:07Z</dcterms:created>
  <dcterms:modified xsi:type="dcterms:W3CDTF">2026-10-14T15:21:33Z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0x010100CB8E1B39FCC95A48940035F16CCBADCF</vt:lpwstr>
  </property>
  <property fmtid="{D5CDD505-2E9C-101B-9397-08002B2CF9AE}" pid="3" name="Order">
    <vt:r8>73500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